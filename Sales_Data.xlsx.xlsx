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419" documentId="11_0B1D56BE9CDCCE836B02CE7A5FB0D4A9BBFD1C62" xr6:coauthVersionLast="47" xr6:coauthVersionMax="47" xr10:uidLastSave="{97AAF753-BE53-4A1E-9920-C1A6C87F77EF}"/>
  <bookViews>
    <workbookView xWindow="240" yWindow="105" windowWidth="14805" windowHeight="8010" activeTab="1" xr2:uid="{00000000-000D-0000-FFFF-FFFF00000000}"/>
  </bookViews>
  <sheets>
    <sheet name="Sheet2" sheetId="2" r:id="rId1"/>
    <sheet name="Sheet3" sheetId="3" r:id="rId2"/>
    <sheet name="Sheet1" sheetId="1" r:id="rId3"/>
  </sheets>
  <externalReferences>
    <externalReference r:id="rId4"/>
  </externalReferences>
  <calcPr calcId="191028"/>
  <pivotCaches>
    <pivotCache cacheId="149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2" i="1"/>
  <c r="L6" i="1"/>
  <c r="K19" i="1"/>
  <c r="F2" i="1" a="1"/>
  <c r="F2" i="1"/>
  <c r="K16" i="1"/>
  <c r="K13" i="1"/>
  <c r="J10" i="1"/>
  <c r="I10" i="1"/>
  <c r="D9" i="1"/>
  <c r="J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E11" i="1"/>
  <c r="D11" i="1"/>
  <c r="E10" i="1"/>
  <c r="D10" i="1"/>
  <c r="E9" i="1"/>
  <c r="J3" i="1" l="1"/>
  <c r="J4" i="1"/>
  <c r="F11" i="1"/>
  <c r="F10" i="1"/>
  <c r="F9" i="1"/>
  <c r="J5" i="1" l="1"/>
  <c r="J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<sst xmlns="http://schemas.openxmlformats.org/spreadsheetml/2006/main" count="65" uniqueCount="42">
  <si>
    <t>Day4_pivot_report</t>
  </si>
  <si>
    <t>Category</t>
  </si>
  <si>
    <t>Product</t>
  </si>
  <si>
    <t>Sum of Quentity</t>
  </si>
  <si>
    <t>Sum of Total_amount</t>
  </si>
  <si>
    <t>Electronics</t>
  </si>
  <si>
    <t>Headset</t>
  </si>
  <si>
    <t>Total Sales by Category</t>
  </si>
  <si>
    <t>Laptop</t>
  </si>
  <si>
    <t>Top Product by Sales</t>
  </si>
  <si>
    <t>Mobile</t>
  </si>
  <si>
    <t>Electronics Total</t>
  </si>
  <si>
    <t>Example:</t>
  </si>
  <si>
    <t>Furniture</t>
  </si>
  <si>
    <t>Chair</t>
  </si>
  <si>
    <t xml:space="preserve"> more focuse on furniture  sales</t>
  </si>
  <si>
    <t>Table</t>
  </si>
  <si>
    <t>Electronics has higher revenue than Furniture.</t>
  </si>
  <si>
    <t>Furniture Total</t>
  </si>
  <si>
    <t>Laptop is the top-selling product by value.</t>
  </si>
  <si>
    <t>Grand Total</t>
  </si>
  <si>
    <t>Business should focus promotions on Electronics.</t>
  </si>
  <si>
    <t>Order_ID</t>
  </si>
  <si>
    <t>Quentity</t>
  </si>
  <si>
    <t>Price</t>
  </si>
  <si>
    <t>Total_amount</t>
  </si>
  <si>
    <t>Range if</t>
  </si>
  <si>
    <t>health if</t>
  </si>
  <si>
    <t>sales if</t>
  </si>
  <si>
    <t>status count if</t>
  </si>
  <si>
    <t xml:space="preserve">Supplier  </t>
  </si>
  <si>
    <t>count if</t>
  </si>
  <si>
    <t xml:space="preserve">join  another file  data   to  tables  with the help of v lookup </t>
  </si>
  <si>
    <t>avg</t>
  </si>
  <si>
    <t>count items electronics</t>
  </si>
  <si>
    <t>count items furniture</t>
  </si>
  <si>
    <t>min</t>
  </si>
  <si>
    <t>max</t>
  </si>
  <si>
    <t>v lookup formula</t>
  </si>
  <si>
    <t>ans</t>
  </si>
  <si>
    <t>xlookup formula</t>
  </si>
  <si>
    <t>index match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</si>
</sst>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 tint="0.59999389629810485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5"/>
      <name val="Aptos Narrow"/>
      <charset val="1"/>
    </font>
    <font>
      <sz val="11"/>
      <color theme="9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/>
    <xf numFmtId="0" fontId="0" fillId="0" borderId="0" xfId="0" applyAlignment="1">
      <alignment wrapText="1"/>
    </xf>
    <xf numFmtId="0" fontId="3" fillId="0" borderId="0" xfId="0" applyFont="1"/>
    <xf numFmtId="0" fontId="6" fillId="0" borderId="0" xfId="0" applyFont="1"/>
    <xf numFmtId="0" fontId="0" fillId="4" borderId="0" xfId="0" applyFont="1" applyFill="1"/>
    <xf numFmtId="0" fontId="0" fillId="4" borderId="0" xfId="0" applyFont="1" applyFill="1" applyAlignment="1">
      <alignment wrapText="1"/>
    </xf>
    <xf numFmtId="0" fontId="4" fillId="5" borderId="0" xfId="0" applyFont="1" applyFill="1"/>
    <xf numFmtId="0" fontId="5" fillId="5" borderId="0" xfId="0" applyFont="1" applyFill="1" applyAlignment="1">
      <alignment wrapText="1"/>
    </xf>
    <xf numFmtId="0" fontId="1" fillId="6" borderId="0" xfId="0" applyFont="1" applyFill="1"/>
    <xf numFmtId="0" fontId="2" fillId="6" borderId="0" xfId="0" applyFont="1" applyFill="1" applyAlignment="1">
      <alignment wrapText="1"/>
    </xf>
    <xf numFmtId="0" fontId="2" fillId="6" borderId="0" xfId="0" applyFont="1" applyFill="1"/>
    <xf numFmtId="0" fontId="7" fillId="7" borderId="0" xfId="0" applyFont="1" applyFill="1"/>
    <xf numFmtId="0" fontId="8" fillId="7" borderId="0" xfId="0" applyFont="1" applyFill="1" applyAlignment="1">
      <alignment wrapText="1"/>
    </xf>
    <xf numFmtId="0" fontId="8" fillId="7" borderId="0" xfId="0" applyFont="1" applyFill="1"/>
    <xf numFmtId="0" fontId="0" fillId="7" borderId="0" xfId="0" applyFill="1"/>
    <xf numFmtId="0" fontId="9" fillId="3" borderId="0" xfId="0" applyFont="1" applyFill="1"/>
    <xf numFmtId="0" fontId="1" fillId="6" borderId="0" xfId="0" applyFont="1" applyFill="1" applyAlignment="1">
      <alignment wrapText="1"/>
    </xf>
    <xf numFmtId="0" fontId="0" fillId="6" borderId="0" xfId="0" applyFill="1"/>
    <xf numFmtId="0" fontId="0" fillId="0" borderId="0" xfId="0" applyNumberFormat="1"/>
    <xf numFmtId="0" fontId="0" fillId="0" borderId="0" xfId="0" pivotButton="1"/>
    <xf numFmtId="10" fontId="0" fillId="0" borderId="0" xfId="0" applyNumberFormat="1"/>
    <xf numFmtId="0" fontId="2" fillId="0" borderId="0" xfId="0" applyFont="1" applyAlignment="1">
      <alignment wrapText="1"/>
    </xf>
    <xf numFmtId="0" fontId="0" fillId="8" borderId="0" xfId="0" applyFill="1" applyAlignment="1">
      <alignment wrapText="1"/>
    </xf>
    <xf numFmtId="0" fontId="2" fillId="8" borderId="0" xfId="0" applyFont="1" applyFill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0" fillId="9" borderId="0" xfId="0" applyFill="1"/>
  </cellXfs>
  <cellStyles count="1">
    <cellStyle name="Normal" xfId="0" builtinId="0"/>
  </cellStyles>
  <dxfs count="3">
    <dxf>
      <fill>
        <patternFill patternType="solid">
          <fgColor indexed="64"/>
          <bgColor theme="6" tint="0.39997558519241921"/>
        </patternFill>
      </fill>
    </dxf>
    <dxf>
      <fill>
        <patternFill patternType="solid">
          <fgColor indexed="64"/>
          <bgColor theme="6" tint="0.39997558519241921"/>
        </patternFill>
      </fill>
    </dxf>
    <dxf>
      <fill>
        <patternFill patternType="solid">
          <fgColor indexed="64"/>
          <bgColor theme="6" tint="0.3999755851924192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t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Product</v>
          </cell>
          <cell r="B1" t="str">
            <v>Supplier</v>
          </cell>
        </row>
        <row r="2">
          <cell r="A2" t="str">
            <v>Mobile</v>
          </cell>
          <cell r="B2" t="str">
            <v>Samsung</v>
          </cell>
        </row>
        <row r="3">
          <cell r="A3" t="str">
            <v>Laptop</v>
          </cell>
          <cell r="B3" t="str">
            <v>Dell</v>
          </cell>
        </row>
        <row r="4">
          <cell r="A4" t="str">
            <v>Chair</v>
          </cell>
          <cell r="B4" t="str">
            <v>IKEA</v>
          </cell>
        </row>
        <row r="5">
          <cell r="A5" t="str">
            <v>Table</v>
          </cell>
          <cell r="B5" t="str">
            <v>IKEA</v>
          </cell>
        </row>
        <row r="6">
          <cell r="A6" t="str">
            <v>Headset</v>
          </cell>
          <cell r="B6" t="str">
            <v>Boat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3.528170833335" createdVersion="8" refreshedVersion="8" minRefreshableVersion="3" recordCount="5" xr:uid="{AFC3D42D-94B9-4016-A3D4-358F43A03F3D}">
  <cacheSource type="worksheet">
    <worksheetSource ref="A1:F6" sheet="Sheet1"/>
  </cacheSource>
  <cacheFields count="6">
    <cacheField name="Order_ID" numFmtId="0">
      <sharedItems containsSemiMixedTypes="0" containsString="0" containsNumber="1" containsInteger="1" minValue="101" maxValue="105"/>
    </cacheField>
    <cacheField name="Product" numFmtId="0">
      <sharedItems count="5">
        <s v="Mobile"/>
        <s v="Laptop"/>
        <s v="Chair"/>
        <s v="Table"/>
        <s v="Headset"/>
      </sharedItems>
    </cacheField>
    <cacheField name="Category" numFmtId="0">
      <sharedItems count="2">
        <s v="Electronics"/>
        <s v="Furniture"/>
      </sharedItems>
    </cacheField>
    <cacheField name="Quentity" numFmtId="0">
      <sharedItems containsSemiMixedTypes="0" containsString="0" containsNumber="1" containsInteger="1" minValue="1" maxValue="4"/>
    </cacheField>
    <cacheField name="Price" numFmtId="0">
      <sharedItems containsSemiMixedTypes="0" containsString="0" containsNumber="1" containsInteger="1" minValue="2000" maxValue="55000"/>
    </cacheField>
    <cacheField name="Total_amount" numFmtId="0">
      <sharedItems containsSemiMixedTypes="0" containsString="0" containsNumber="1" containsInteger="1" minValue="6000" maxValue="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1"/>
    <x v="0"/>
    <x v="0"/>
    <n v="2"/>
    <n v="15000"/>
    <n v="30000"/>
  </r>
  <r>
    <n v="102"/>
    <x v="1"/>
    <x v="0"/>
    <n v="1"/>
    <n v="55000"/>
    <n v="55000"/>
  </r>
  <r>
    <n v="103"/>
    <x v="2"/>
    <x v="1"/>
    <n v="4"/>
    <n v="2500"/>
    <n v="10000"/>
  </r>
  <r>
    <n v="104"/>
    <x v="3"/>
    <x v="1"/>
    <n v="1"/>
    <n v="8000"/>
    <n v="8000"/>
  </r>
  <r>
    <n v="105"/>
    <x v="4"/>
    <x v="0"/>
    <n v="3"/>
    <n v="2000"/>
    <n v="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4A684-4293-4CF5-9E7A-14214357F27C}" name="PivotTable1" cacheId="14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1" firstHeaderRow="0" firstDataRow="1" firstDataCol="2"/>
  <pivotFields count="6">
    <pivotField compact="0" outline="0" showAll="0"/>
    <pivotField axis="axisRow" compact="0" outline="0" showAll="0">
      <items count="6">
        <item x="2"/>
        <item x="4"/>
        <item x="1"/>
        <item x="0"/>
        <item x="3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dataField="1" compact="0" outline="0" showAll="0"/>
  </pivotFields>
  <rowFields count="2">
    <field x="2"/>
    <field x="1"/>
  </rowFields>
  <rowItems count="8">
    <i>
      <x/>
      <x v="1"/>
    </i>
    <i r="1">
      <x v="2"/>
    </i>
    <i r="1">
      <x v="3"/>
    </i>
    <i t="default">
      <x/>
    </i>
    <i>
      <x v="1"/>
      <x/>
    </i>
    <i r="1">
      <x v="4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entity" fld="3" baseField="0" baseItem="0"/>
    <dataField name="Sum of Total_amount" fld="5" showDataAs="percentOfTotal" baseField="0" baseItem="0" numFmtId="10"/>
  </dataField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2" count="2" selected="0" defaultSubtotal="1">
              <x v="0"/>
              <x v="1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73BFFB-7857-41DB-B890-DC0652BB71FF}" name="PivotTable1" cacheId="14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6">
    <pivotField compact="0" outline="0" showAll="0"/>
    <pivotField axis="axisRow" compact="0" outline="0" showAll="0">
      <items count="6">
        <item x="2"/>
        <item x="4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5" showDataAs="percentOfTotal" baseField="0" baseItem="0" numFmtId="10"/>
  </dataFields>
  <formats count="3">
    <format dxfId="0">
      <pivotArea field="1" type="button" dataOnly="0" labelOnly="1" outline="0" axis="axisRow" fieldPosition="0"/>
    </format>
    <format dxfId="1">
      <pivotArea dataOnly="0" labelOnly="1" outline="0" fieldPosition="0">
        <references count="1">
          <reference field="1" count="0"/>
        </references>
      </pivotArea>
    </format>
    <format dxfId="2">
      <pivotArea dataOnly="0" labelOnly="1" grandRow="1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86F9-EED2-49FC-8D61-46C37971D567}">
  <dimension ref="A2:F11"/>
  <sheetViews>
    <sheetView workbookViewId="0">
      <selection activeCell="F5" sqref="F5"/>
    </sheetView>
  </sheetViews>
  <sheetFormatPr defaultRowHeight="15"/>
  <cols>
    <col min="1" max="1" width="16.42578125" bestFit="1" customWidth="1"/>
    <col min="2" max="2" width="11" bestFit="1" customWidth="1"/>
    <col min="3" max="3" width="15" bestFit="1" customWidth="1"/>
    <col min="4" max="4" width="19.5703125" bestFit="1" customWidth="1"/>
    <col min="6" max="6" width="36.5703125" bestFit="1" customWidth="1"/>
  </cols>
  <sheetData>
    <row r="2" spans="1:6">
      <c r="A2" t="s">
        <v>0</v>
      </c>
    </row>
    <row r="3" spans="1:6">
      <c r="A3" s="20" t="s">
        <v>1</v>
      </c>
      <c r="B3" s="20" t="s">
        <v>2</v>
      </c>
      <c r="C3" t="s">
        <v>3</v>
      </c>
      <c r="D3" t="s">
        <v>4</v>
      </c>
    </row>
    <row r="4" spans="1:6">
      <c r="A4" t="s">
        <v>5</v>
      </c>
      <c r="B4" t="s">
        <v>6</v>
      </c>
      <c r="C4" s="19">
        <v>3</v>
      </c>
      <c r="D4" s="21">
        <v>5.5045871559633031E-2</v>
      </c>
      <c r="F4" s="24" t="s">
        <v>7</v>
      </c>
    </row>
    <row r="5" spans="1:6">
      <c r="B5" t="s">
        <v>8</v>
      </c>
      <c r="C5" s="19">
        <v>1</v>
      </c>
      <c r="D5" s="21">
        <v>0.50458715596330272</v>
      </c>
      <c r="F5" s="26" t="s">
        <v>9</v>
      </c>
    </row>
    <row r="6" spans="1:6">
      <c r="B6" t="s">
        <v>10</v>
      </c>
      <c r="C6" s="19">
        <v>2</v>
      </c>
      <c r="D6" s="21">
        <v>0.27522935779816515</v>
      </c>
      <c r="F6" s="22"/>
    </row>
    <row r="7" spans="1:6">
      <c r="A7" t="s">
        <v>11</v>
      </c>
      <c r="C7" s="19">
        <v>6</v>
      </c>
      <c r="D7" s="21">
        <v>0.83486238532110091</v>
      </c>
      <c r="F7" s="23" t="s">
        <v>12</v>
      </c>
    </row>
    <row r="8" spans="1:6">
      <c r="A8" t="s">
        <v>13</v>
      </c>
      <c r="B8" t="s">
        <v>14</v>
      </c>
      <c r="C8" s="19">
        <v>4</v>
      </c>
      <c r="D8" s="21">
        <v>9.1743119266055051E-2</v>
      </c>
      <c r="F8" s="25" t="s">
        <v>15</v>
      </c>
    </row>
    <row r="9" spans="1:6" ht="29.25">
      <c r="B9" t="s">
        <v>16</v>
      </c>
      <c r="C9" s="19">
        <v>1</v>
      </c>
      <c r="D9" s="21">
        <v>7.3394495412844041E-2</v>
      </c>
      <c r="F9" s="26" t="s">
        <v>17</v>
      </c>
    </row>
    <row r="10" spans="1:6">
      <c r="A10" t="s">
        <v>18</v>
      </c>
      <c r="C10" s="19">
        <v>5</v>
      </c>
      <c r="D10" s="21">
        <v>0.16513761467889909</v>
      </c>
      <c r="F10" s="26" t="s">
        <v>19</v>
      </c>
    </row>
    <row r="11" spans="1:6" ht="29.25">
      <c r="A11" t="s">
        <v>20</v>
      </c>
      <c r="C11" s="19">
        <v>11</v>
      </c>
      <c r="D11" s="21">
        <v>1</v>
      </c>
      <c r="F11" s="26" t="s">
        <v>21</v>
      </c>
    </row>
  </sheetData>
  <conditionalFormatting pivot="1" sqref="D7 D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{7B6F4DEB-BE09-4D85-B227-F13F983A554D}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B6F4DEB-BE09-4D85-B227-F13F983A5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D7 D10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BAB9-8CA3-4A5A-A88C-7CDDDD83012F}">
  <dimension ref="A3:B9"/>
  <sheetViews>
    <sheetView tabSelected="1" workbookViewId="0">
      <selection activeCell="B4" sqref="B4:B9"/>
    </sheetView>
  </sheetViews>
  <sheetFormatPr defaultRowHeight="15"/>
  <cols>
    <col min="1" max="1" width="11.140625" bestFit="1" customWidth="1"/>
    <col min="2" max="4" width="19.5703125" bestFit="1" customWidth="1"/>
  </cols>
  <sheetData>
    <row r="3" spans="1:2">
      <c r="A3" s="27" t="s">
        <v>2</v>
      </c>
      <c r="B3" t="s">
        <v>4</v>
      </c>
    </row>
    <row r="4" spans="1:2">
      <c r="A4" s="27" t="s">
        <v>14</v>
      </c>
      <c r="B4" s="21">
        <v>9.1743119266055051E-2</v>
      </c>
    </row>
    <row r="5" spans="1:2">
      <c r="A5" s="27" t="s">
        <v>6</v>
      </c>
      <c r="B5" s="21">
        <v>5.5045871559633031E-2</v>
      </c>
    </row>
    <row r="6" spans="1:2">
      <c r="A6" s="27" t="s">
        <v>8</v>
      </c>
      <c r="B6" s="21">
        <v>0.50458715596330272</v>
      </c>
    </row>
    <row r="7" spans="1:2">
      <c r="A7" s="27" t="s">
        <v>10</v>
      </c>
      <c r="B7" s="21">
        <v>0.27522935779816515</v>
      </c>
    </row>
    <row r="8" spans="1:2">
      <c r="A8" s="27" t="s">
        <v>16</v>
      </c>
      <c r="B8" s="21">
        <v>7.3394495412844041E-2</v>
      </c>
    </row>
    <row r="9" spans="1:2">
      <c r="A9" s="27" t="s">
        <v>20</v>
      </c>
      <c r="B9" s="21">
        <v>1</v>
      </c>
    </row>
  </sheetData>
  <conditionalFormatting pivot="1" sqref="B4:B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{EFB31C74-F6DA-4BA2-80FA-C1A6B7A4C94C}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FB31C74-F6DA-4BA2-80FA-C1A6B7A4C94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B4:B9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sqref="A1:F6"/>
    </sheetView>
  </sheetViews>
  <sheetFormatPr defaultRowHeight="15"/>
  <cols>
    <col min="3" max="3" width="10.42578125" bestFit="1" customWidth="1"/>
    <col min="5" max="5" width="10.5703125" customWidth="1"/>
    <col min="6" max="6" width="13.28515625" customWidth="1"/>
    <col min="7" max="7" width="14.28515625" customWidth="1"/>
    <col min="8" max="8" width="8.140625" customWidth="1"/>
    <col min="9" max="9" width="13" customWidth="1"/>
    <col min="10" max="10" width="18" customWidth="1"/>
    <col min="11" max="11" width="17.42578125" customWidth="1"/>
  </cols>
  <sheetData>
    <row r="1" spans="1:13">
      <c r="A1" s="9" t="s">
        <v>22</v>
      </c>
      <c r="B1" s="9" t="s">
        <v>2</v>
      </c>
      <c r="C1" s="9" t="s">
        <v>1</v>
      </c>
      <c r="D1" s="9" t="s">
        <v>23</v>
      </c>
      <c r="E1" s="9" t="s">
        <v>24</v>
      </c>
      <c r="F1" s="17" t="s">
        <v>25</v>
      </c>
      <c r="G1" s="12" t="s">
        <v>26</v>
      </c>
      <c r="H1" s="12" t="s">
        <v>27</v>
      </c>
      <c r="I1" s="12" t="s">
        <v>28</v>
      </c>
      <c r="J1" s="12" t="s">
        <v>29</v>
      </c>
      <c r="K1" s="9" t="s">
        <v>30</v>
      </c>
    </row>
    <row r="2" spans="1:13" ht="20.25" customHeight="1">
      <c r="A2" s="18">
        <v>101</v>
      </c>
      <c r="B2" s="18" t="s">
        <v>10</v>
      </c>
      <c r="C2" s="18" t="s">
        <v>5</v>
      </c>
      <c r="D2" s="18">
        <v>2</v>
      </c>
      <c r="E2" s="18">
        <v>15000</v>
      </c>
      <c r="F2" s="11" cm="1">
        <f t="array" ref="F2:F6">D2:D6*E2:E6</f>
        <v>30000</v>
      </c>
      <c r="G2" s="13" t="str">
        <f>IF(F2&gt;=20000,"extra premium",IF(F2&gt;=15000,"premium",IF(F2&gt;=10000,"ecnomy",IF(F2&gt;=5000,"lowcost"))))</f>
        <v>extra premium</v>
      </c>
      <c r="H2" s="13" t="str">
        <f>IF(AND(D2&gt;=1,E2&gt;=2500,F2&gt;=5000),"good","week")</f>
        <v>good</v>
      </c>
      <c r="I2" s="14" t="str">
        <f>IF(F2&gt;=10000,"target reached","not reached")</f>
        <v>target reached</v>
      </c>
      <c r="J2" s="14">
        <f>COUNTIF(F2:F6,"&gt;"&amp;10000)</f>
        <v>2</v>
      </c>
      <c r="K2" s="10" t="str">
        <f>VLOOKUP(B2,[1]Sheet1!$A$1:$B$6,2,0)</f>
        <v>Samsung</v>
      </c>
    </row>
    <row r="3" spans="1:13">
      <c r="A3" s="18">
        <v>102</v>
      </c>
      <c r="B3" s="18" t="s">
        <v>8</v>
      </c>
      <c r="C3" s="18" t="s">
        <v>5</v>
      </c>
      <c r="D3" s="18">
        <v>1</v>
      </c>
      <c r="E3" s="18">
        <v>55000</v>
      </c>
      <c r="F3" s="11">
        <v>55000</v>
      </c>
      <c r="G3" s="13" t="str">
        <f t="shared" ref="G3:G6" si="0">IF(F3&gt;=20000,"extra premium",IF(F3&gt;=15000,"premium",IF(F3&gt;=10000,"ecnomy",IF(F3&gt;=5000,"lowcost"))))</f>
        <v>extra premium</v>
      </c>
      <c r="H3" s="13" t="str">
        <f t="shared" ref="H3:H6" si="1">IF(AND(D3&gt;=1,E3&gt;=2500,F3&gt;=5000),"good","week")</f>
        <v>good</v>
      </c>
      <c r="I3" s="14" t="str">
        <f t="shared" ref="I3:I6" si="2">IF(F3&gt;=10000,"target reached","not reached")</f>
        <v>target reached</v>
      </c>
      <c r="J3" s="14">
        <f t="shared" ref="J3:J6" si="3">COUNTIF(F3:F7,"&gt;"&amp;10000)</f>
        <v>1</v>
      </c>
      <c r="K3" s="10" t="str">
        <f>VLOOKUP(B3,[1]Sheet1!$A$1:$B$6,2,0)</f>
        <v>Dell</v>
      </c>
    </row>
    <row r="4" spans="1:13">
      <c r="A4" s="18">
        <v>103</v>
      </c>
      <c r="B4" s="18" t="s">
        <v>14</v>
      </c>
      <c r="C4" s="18" t="s">
        <v>13</v>
      </c>
      <c r="D4" s="18">
        <v>4</v>
      </c>
      <c r="E4" s="18">
        <v>2500</v>
      </c>
      <c r="F4" s="11">
        <v>10000</v>
      </c>
      <c r="G4" s="13" t="str">
        <f t="shared" si="0"/>
        <v>ecnomy</v>
      </c>
      <c r="H4" s="13" t="str">
        <f t="shared" si="1"/>
        <v>good</v>
      </c>
      <c r="I4" s="14" t="str">
        <f t="shared" si="2"/>
        <v>target reached</v>
      </c>
      <c r="J4" s="14">
        <f t="shared" si="3"/>
        <v>0</v>
      </c>
      <c r="K4" s="10" t="str">
        <f>VLOOKUP(B4,[1]Sheet1!$A$1:$B$6,2,0)</f>
        <v>IKEA</v>
      </c>
    </row>
    <row r="5" spans="1:13">
      <c r="A5" s="18">
        <v>104</v>
      </c>
      <c r="B5" s="18" t="s">
        <v>16</v>
      </c>
      <c r="C5" s="18" t="s">
        <v>13</v>
      </c>
      <c r="D5" s="18">
        <v>1</v>
      </c>
      <c r="E5" s="18">
        <v>8000</v>
      </c>
      <c r="F5" s="11">
        <v>8000</v>
      </c>
      <c r="G5" s="13" t="str">
        <f t="shared" si="0"/>
        <v>lowcost</v>
      </c>
      <c r="H5" s="13" t="str">
        <f t="shared" si="1"/>
        <v>good</v>
      </c>
      <c r="I5" s="14" t="str">
        <f t="shared" si="2"/>
        <v>not reached</v>
      </c>
      <c r="J5" s="14">
        <f t="shared" si="3"/>
        <v>1</v>
      </c>
      <c r="K5" s="10" t="str">
        <f>VLOOKUP(B5,[1]Sheet1!$A$1:$B$6,2,0)</f>
        <v>IKEA</v>
      </c>
    </row>
    <row r="6" spans="1:13">
      <c r="A6" s="18">
        <v>105</v>
      </c>
      <c r="B6" s="18" t="s">
        <v>6</v>
      </c>
      <c r="C6" s="18" t="s">
        <v>5</v>
      </c>
      <c r="D6" s="18">
        <v>3</v>
      </c>
      <c r="E6" s="18">
        <v>2000</v>
      </c>
      <c r="F6" s="11">
        <v>6000</v>
      </c>
      <c r="G6" s="13" t="str">
        <f t="shared" si="0"/>
        <v>lowcost</v>
      </c>
      <c r="H6" s="13" t="str">
        <f t="shared" si="1"/>
        <v>week</v>
      </c>
      <c r="I6" s="14" t="str">
        <f t="shared" si="2"/>
        <v>not reached</v>
      </c>
      <c r="J6" s="14">
        <f t="shared" si="3"/>
        <v>2</v>
      </c>
      <c r="K6" s="10" t="str">
        <f>VLOOKUP(B6,[1]Sheet1!$A$1:$B$6,2,0)</f>
        <v>Boat</v>
      </c>
      <c r="L6" t="str">
        <f t="shared" ref="L2:L6" si="4">TRIM(B7)</f>
        <v/>
      </c>
    </row>
    <row r="7" spans="1:13">
      <c r="G7" s="15"/>
      <c r="H7" s="15"/>
      <c r="I7" s="15"/>
      <c r="J7" s="15"/>
      <c r="K7" s="11"/>
      <c r="M7" s="4"/>
    </row>
    <row r="8" spans="1:13" ht="57.75">
      <c r="F8" s="1"/>
      <c r="I8" s="7" t="s">
        <v>31</v>
      </c>
      <c r="J8" s="7"/>
      <c r="K8" s="10" t="s">
        <v>32</v>
      </c>
    </row>
    <row r="9" spans="1:13" ht="29.25">
      <c r="B9" s="3"/>
      <c r="C9" s="16" t="s">
        <v>33</v>
      </c>
      <c r="D9" s="16">
        <f>AVERAGE(D2:D6)</f>
        <v>2.2000000000000002</v>
      </c>
      <c r="E9" s="16">
        <f t="shared" ref="E9:F9" si="5">AVERAGE(E2:E6)</f>
        <v>16500</v>
      </c>
      <c r="F9" s="16">
        <f t="shared" si="5"/>
        <v>21800</v>
      </c>
      <c r="I9" s="8" t="s">
        <v>34</v>
      </c>
      <c r="J9" s="8" t="s">
        <v>35</v>
      </c>
    </row>
    <row r="10" spans="1:13">
      <c r="B10" s="3"/>
      <c r="C10" s="16" t="s">
        <v>36</v>
      </c>
      <c r="D10" s="16">
        <f>MAX(D2:D6)</f>
        <v>4</v>
      </c>
      <c r="E10" s="16">
        <f t="shared" ref="E10:F10" si="6">MAX(E2:E6)</f>
        <v>55000</v>
      </c>
      <c r="F10" s="16">
        <f t="shared" si="6"/>
        <v>55000</v>
      </c>
      <c r="I10" s="7">
        <f>COUNTIF(C2:C6,"Electronics")</f>
        <v>3</v>
      </c>
      <c r="J10" s="7">
        <f>COUNTIF(C2:C6,"Furniture")</f>
        <v>2</v>
      </c>
    </row>
    <row r="11" spans="1:13">
      <c r="B11" s="3"/>
      <c r="C11" s="16" t="s">
        <v>37</v>
      </c>
      <c r="D11" s="16">
        <f>SUM(D2:D6)</f>
        <v>11</v>
      </c>
      <c r="E11" s="16">
        <f t="shared" ref="E11:F11" si="7">SUM(E2:E6)</f>
        <v>82500</v>
      </c>
      <c r="F11" s="16">
        <f t="shared" si="7"/>
        <v>109000</v>
      </c>
    </row>
    <row r="12" spans="1:13">
      <c r="F12" s="1"/>
      <c r="J12" s="5" t="s">
        <v>38</v>
      </c>
      <c r="K12" s="5" t="s">
        <v>39</v>
      </c>
    </row>
    <row r="13" spans="1:13">
      <c r="F13" s="1"/>
      <c r="J13" s="5" t="s">
        <v>8</v>
      </c>
      <c r="K13" s="5">
        <f>VLOOKUP(J13,B1:F6,5,0)</f>
        <v>55000</v>
      </c>
    </row>
    <row r="14" spans="1:13">
      <c r="F14" s="1"/>
      <c r="J14" s="5"/>
      <c r="K14" s="5"/>
    </row>
    <row r="15" spans="1:13">
      <c r="F15" s="1"/>
      <c r="H15" s="2"/>
      <c r="I15" s="2"/>
      <c r="J15" s="6" t="s">
        <v>40</v>
      </c>
      <c r="K15" s="6"/>
    </row>
    <row r="16" spans="1:13">
      <c r="F16" s="1"/>
      <c r="J16" s="5" t="s">
        <v>8</v>
      </c>
      <c r="K16" s="5">
        <f>_xlfn.XLOOKUP(J16,B:B,F:F)</f>
        <v>55000</v>
      </c>
    </row>
    <row r="17" spans="10:11">
      <c r="J17" s="5"/>
      <c r="K17" s="5"/>
    </row>
    <row r="18" spans="10:11" ht="29.25">
      <c r="J18" s="6" t="s">
        <v>41</v>
      </c>
      <c r="K18" s="5"/>
    </row>
    <row r="19" spans="10:11">
      <c r="J19" s="5" t="s">
        <v>8</v>
      </c>
      <c r="K19" s="5">
        <f>INDEX(F2:F6,MATCH(J19,B2:B6,0))</f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Prashanth Nayaka</cp:lastModifiedBy>
  <cp:revision/>
  <dcterms:created xsi:type="dcterms:W3CDTF">2025-12-20T13:27:08Z</dcterms:created>
  <dcterms:modified xsi:type="dcterms:W3CDTF">2025-12-22T07:59:08Z</dcterms:modified>
  <cp:category/>
  <cp:contentStatus/>
</cp:coreProperties>
</file>